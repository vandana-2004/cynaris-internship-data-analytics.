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andana\Desktop\sql-fundamentals\"/>
    </mc:Choice>
  </mc:AlternateContent>
  <xr:revisionPtr revIDLastSave="0" documentId="13_ncr:1_{148E5875-E61B-486E-BDF9-9AB5FC7D42B5}" xr6:coauthVersionLast="47" xr6:coauthVersionMax="47" xr10:uidLastSave="{00000000-0000-0000-0000-000000000000}"/>
  <bookViews>
    <workbookView xWindow="-36" yWindow="0" windowWidth="22296" windowHeight="12336" activeTab="1" xr2:uid="{70A57841-5BEE-4674-B92F-86C88E33ADDB}"/>
  </bookViews>
  <sheets>
    <sheet name="Combined_Sales" sheetId="3" r:id="rId1"/>
    <sheet name="Sheet2" sheetId="2" r:id="rId2"/>
    <sheet name="Sales_Data" sheetId="1" r:id="rId3"/>
    <sheet name="Quarterly_Summary." sheetId="4" r:id="rId4"/>
  </sheets>
  <definedNames>
    <definedName name="ExternalData_1" localSheetId="0" hidden="1">Combined_Sales!$A$1:$G$7</definedName>
    <definedName name="Slicer_Product">#N/A</definedName>
    <definedName name="Slicer_Region">#N/A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4" l="1"/>
  <c r="C4" i="4"/>
  <c r="C3" i="4"/>
  <c r="B3" i="4"/>
  <c r="B4" i="4"/>
  <c r="B5" i="4"/>
  <c r="B2" i="4"/>
  <c r="I2" i="1"/>
  <c r="I3" i="1"/>
  <c r="I4" i="1"/>
  <c r="I5" i="1"/>
  <c r="I6" i="1"/>
  <c r="I7" i="1"/>
  <c r="I8" i="1"/>
  <c r="I9" i="1"/>
  <c r="I10" i="1"/>
  <c r="I11" i="1"/>
  <c r="I12" i="1"/>
  <c r="I13" i="1"/>
  <c r="H2" i="1"/>
  <c r="H3" i="1"/>
  <c r="H4" i="1"/>
  <c r="H5" i="1"/>
  <c r="H6" i="1"/>
  <c r="H7" i="1"/>
  <c r="H8" i="1"/>
  <c r="H9" i="1"/>
  <c r="H10" i="1"/>
  <c r="H11" i="1"/>
  <c r="H12" i="1"/>
  <c r="H13" i="1"/>
  <c r="G2" i="1"/>
  <c r="G3" i="1"/>
  <c r="G4" i="1"/>
  <c r="G5" i="1"/>
  <c r="G6" i="1"/>
  <c r="G7" i="1"/>
  <c r="G8" i="1"/>
  <c r="G9" i="1"/>
  <c r="G10" i="1"/>
  <c r="G11" i="1"/>
  <c r="G12" i="1"/>
  <c r="G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BAD7A6-3BD9-4C19-8241-DDB8648C110B}" keepAlive="1" name="Query - excel_sales_data" description="Connection to the 'excel_sales_data' query in the workbook." type="5" refreshedVersion="8" background="1" saveData="1">
    <dbPr connection="Provider=Microsoft.Mashup.OleDb.1;Data Source=$Workbook$;Location=excel_sales_data;Extended Properties=&quot;&quot;" command="SELECT * FROM [excel_sales_data]"/>
  </connection>
  <connection id="2" xr16:uid="{770A9E64-F9BA-4C18-9F8C-E1D3E928D2C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9091B0F9-C409-4FEE-B1EF-C572C38CB1F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754E0F92-5226-447C-8E0D-064DBEDB9F2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8CA46D57-DBBD-41FE-B5F8-25352FA9773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<sst xmlns="http://schemas.openxmlformats.org/spreadsheetml/2006/main" count="96" uniqueCount="39">
  <si>
    <t>Order_ID</t>
  </si>
  <si>
    <t>Region</t>
  </si>
  <si>
    <t>Product</t>
  </si>
  <si>
    <t>Order_Date</t>
  </si>
  <si>
    <t>Revenue</t>
  </si>
  <si>
    <t>Cost</t>
  </si>
  <si>
    <t>North</t>
  </si>
  <si>
    <t>Laptop</t>
  </si>
  <si>
    <t>South</t>
  </si>
  <si>
    <t>Phone</t>
  </si>
  <si>
    <t>East</t>
  </si>
  <si>
    <t>West</t>
  </si>
  <si>
    <t>Tablet</t>
  </si>
  <si>
    <t>Row Labels</t>
  </si>
  <si>
    <t>Grand Total</t>
  </si>
  <si>
    <t>Sum of Revenue</t>
  </si>
  <si>
    <t>Column Labels</t>
  </si>
  <si>
    <t>2026</t>
  </si>
  <si>
    <t>Qtr1</t>
  </si>
  <si>
    <t>Qtr2</t>
  </si>
  <si>
    <t>Qtr3</t>
  </si>
  <si>
    <t>2026 Sum of Revenue</t>
  </si>
  <si>
    <t>Total Sum of Revenue</t>
  </si>
  <si>
    <t>2026 Sum of Profit Margin</t>
  </si>
  <si>
    <t>Total Sum of Profit Margin</t>
  </si>
  <si>
    <t>Sum of Profit Margin</t>
  </si>
  <si>
    <t>Source.Name</t>
  </si>
  <si>
    <t>sales_q3.csv</t>
  </si>
  <si>
    <t>sales_q4.csv</t>
  </si>
  <si>
    <t>Profit</t>
  </si>
  <si>
    <t>Profit_Margin</t>
  </si>
  <si>
    <t>Quarter</t>
  </si>
  <si>
    <t>Revenue_Growth_%</t>
  </si>
  <si>
    <t>Total Revenue</t>
  </si>
  <si>
    <t>Growth %</t>
  </si>
  <si>
    <t>Q1</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</si>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</sst>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8" fontId="0" fillId="0" borderId="0" xfId="0" applyNumberFormat="1"/>
    <xf numFmtId="9" fontId="0" fillId="0" borderId="0" xfId="1" applyFont="1" applyAlignment="1">
      <alignment vertical="center" wrapText="1"/>
    </xf>
  </cellXfs>
  <cellStyles count="2">
    <cellStyle name="Normal" xfId="0" builtinId="0"/>
    <cellStyle name="Percent" xfId="1" builtinId="5"/>
  </cellStyles>
  <dxfs count="17">
    <dxf>
      <numFmt numFmtId="19" formatCode="dd/mm/yyyy"/>
    </dxf>
    <dxf>
      <numFmt numFmtId="0" formatCode="General"/>
    </dxf>
    <dxf>
      <numFmt numFmtId="0" formatCode="General"/>
    </dxf>
    <dxf>
      <numFmt numFmtId="0" formatCode="General"/>
    </dxf>
    <dxf>
      <fill>
        <patternFill>
          <bgColor rgb="FFFFC7CE"/>
        </patternFill>
      </fill>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Sheet2!$B$3:$B$6</c:f>
              <c:strCache>
                <c:ptCount val="1"/>
                <c:pt idx="0">
                  <c:v>2026 - Qtr1 - Sum of Revenue</c:v>
                </c:pt>
              </c:strCache>
            </c:strRef>
          </c:tx>
          <c:spPr>
            <a:solidFill>
              <a:schemeClr val="accent1"/>
            </a:solidFill>
            <a:ln>
              <a:noFill/>
            </a:ln>
            <a:effectLst/>
          </c:spPr>
          <c:invertIfNegative val="0"/>
          <c:cat>
            <c:multiLvlStrRef>
              <c:f>Sheet2!$A$7:$A$20</c:f>
              <c:multiLvlStrCache>
                <c:ptCount val="9"/>
                <c:lvl>
                  <c:pt idx="0">
                    <c:v>Laptop</c:v>
                  </c:pt>
                  <c:pt idx="1">
                    <c:v>Tablet</c:v>
                  </c:pt>
                  <c:pt idx="2">
                    <c:v>Laptop</c:v>
                  </c:pt>
                  <c:pt idx="3">
                    <c:v>Phone</c:v>
                  </c:pt>
                  <c:pt idx="4">
                    <c:v>Tablet</c:v>
                  </c:pt>
                  <c:pt idx="5">
                    <c:v>Laptop</c:v>
                  </c:pt>
                  <c:pt idx="6">
                    <c:v>Phone</c:v>
                  </c:pt>
                  <c:pt idx="7">
                    <c:v>Phone</c:v>
                  </c:pt>
                  <c:pt idx="8">
                    <c:v>Tablet</c:v>
                  </c:pt>
                </c:lvl>
                <c:lvl>
                  <c:pt idx="0">
                    <c:v>East</c:v>
                  </c:pt>
                  <c:pt idx="2">
                    <c:v>North</c:v>
                  </c:pt>
                  <c:pt idx="5">
                    <c:v>South</c:v>
                  </c:pt>
                  <c:pt idx="7">
                    <c:v>West</c:v>
                  </c:pt>
                </c:lvl>
              </c:multiLvlStrCache>
            </c:multiLvlStrRef>
          </c:cat>
          <c:val>
            <c:numRef>
              <c:f>Sheet2!$B$7:$B$20</c:f>
              <c:numCache>
                <c:formatCode>"₹"\ #,##0</c:formatCode>
                <c:ptCount val="9"/>
                <c:pt idx="0">
                  <c:v>45000</c:v>
                </c:pt>
                <c:pt idx="2">
                  <c:v>50000</c:v>
                </c:pt>
                <c:pt idx="3">
                  <c:v>35000</c:v>
                </c:pt>
                <c:pt idx="6">
                  <c:v>30000</c:v>
                </c:pt>
                <c:pt idx="8">
                  <c:v>20000</c:v>
                </c:pt>
              </c:numCache>
            </c:numRef>
          </c:val>
          <c:extLst>
            <c:ext xmlns:c16="http://schemas.microsoft.com/office/drawing/2014/chart" uri="{C3380CC4-5D6E-409C-BE32-E72D297353CC}">
              <c16:uniqueId val="{00000000-4C34-49AA-8413-E3EA20FA012B}"/>
            </c:ext>
          </c:extLst>
        </c:ser>
        <c:ser>
          <c:idx val="1"/>
          <c:order val="1"/>
          <c:tx>
            <c:strRef>
              <c:f>Sheet2!$C$3:$C$6</c:f>
              <c:strCache>
                <c:ptCount val="1"/>
                <c:pt idx="0">
                  <c:v>2026 - Qtr1 - Sum of Profit Margin</c:v>
                </c:pt>
              </c:strCache>
            </c:strRef>
          </c:tx>
          <c:spPr>
            <a:solidFill>
              <a:schemeClr val="accent2"/>
            </a:solidFill>
            <a:ln>
              <a:noFill/>
            </a:ln>
            <a:effectLst/>
          </c:spPr>
          <c:invertIfNegative val="0"/>
          <c:cat>
            <c:multiLvlStrRef>
              <c:f>Sheet2!$A$7:$A$20</c:f>
              <c:multiLvlStrCache>
                <c:ptCount val="9"/>
                <c:lvl>
                  <c:pt idx="0">
                    <c:v>Laptop</c:v>
                  </c:pt>
                  <c:pt idx="1">
                    <c:v>Tablet</c:v>
                  </c:pt>
                  <c:pt idx="2">
                    <c:v>Laptop</c:v>
                  </c:pt>
                  <c:pt idx="3">
                    <c:v>Phone</c:v>
                  </c:pt>
                  <c:pt idx="4">
                    <c:v>Tablet</c:v>
                  </c:pt>
                  <c:pt idx="5">
                    <c:v>Laptop</c:v>
                  </c:pt>
                  <c:pt idx="6">
                    <c:v>Phone</c:v>
                  </c:pt>
                  <c:pt idx="7">
                    <c:v>Phone</c:v>
                  </c:pt>
                  <c:pt idx="8">
                    <c:v>Tablet</c:v>
                  </c:pt>
                </c:lvl>
                <c:lvl>
                  <c:pt idx="0">
                    <c:v>East</c:v>
                  </c:pt>
                  <c:pt idx="2">
                    <c:v>North</c:v>
                  </c:pt>
                  <c:pt idx="5">
                    <c:v>South</c:v>
                  </c:pt>
                  <c:pt idx="7">
                    <c:v>West</c:v>
                  </c:pt>
                </c:lvl>
              </c:multiLvlStrCache>
            </c:multiLvlStrRef>
          </c:cat>
          <c:val>
            <c:numRef>
              <c:f>Sheet2!$C$7:$C$20</c:f>
              <c:numCache>
                <c:formatCode>"₹"\ #,##0</c:formatCode>
                <c:ptCount val="9"/>
                <c:pt idx="0">
                  <c:v>0.24444444444444444</c:v>
                </c:pt>
                <c:pt idx="1">
                  <c:v>#N/A</c:v>
                </c:pt>
                <c:pt idx="2">
                  <c:v>0.24</c:v>
                </c:pt>
                <c:pt idx="3">
                  <c:v>0.31428571428571428</c:v>
                </c:pt>
                <c:pt idx="4">
                  <c:v>#N/A</c:v>
                </c:pt>
                <c:pt idx="5">
                  <c:v>#N/A</c:v>
                </c:pt>
                <c:pt idx="6">
                  <c:v>0.3</c:v>
                </c:pt>
                <c:pt idx="7">
                  <c:v>#N/A</c:v>
                </c:pt>
                <c:pt idx="8">
                  <c:v>0.3</c:v>
                </c:pt>
              </c:numCache>
            </c:numRef>
          </c:val>
          <c:extLst>
            <c:ext xmlns:c16="http://schemas.microsoft.com/office/drawing/2014/chart" uri="{C3380CC4-5D6E-409C-BE32-E72D297353CC}">
              <c16:uniqueId val="{00000001-4C34-49AA-8413-E3EA20FA012B}"/>
            </c:ext>
          </c:extLst>
        </c:ser>
        <c:ser>
          <c:idx val="2"/>
          <c:order val="2"/>
          <c:tx>
            <c:strRef>
              <c:f>Sheet2!$D$3:$D$6</c:f>
              <c:strCache>
                <c:ptCount val="1"/>
                <c:pt idx="0">
                  <c:v>2026 - Qtr2 - Sum of Revenue</c:v>
                </c:pt>
              </c:strCache>
            </c:strRef>
          </c:tx>
          <c:spPr>
            <a:solidFill>
              <a:schemeClr val="accent3"/>
            </a:solidFill>
            <a:ln>
              <a:noFill/>
            </a:ln>
            <a:effectLst/>
          </c:spPr>
          <c:invertIfNegative val="0"/>
          <c:cat>
            <c:multiLvlStrRef>
              <c:f>Sheet2!$A$7:$A$20</c:f>
              <c:multiLvlStrCache>
                <c:ptCount val="9"/>
                <c:lvl>
                  <c:pt idx="0">
                    <c:v>Laptop</c:v>
                  </c:pt>
                  <c:pt idx="1">
                    <c:v>Tablet</c:v>
                  </c:pt>
                  <c:pt idx="2">
                    <c:v>Laptop</c:v>
                  </c:pt>
                  <c:pt idx="3">
                    <c:v>Phone</c:v>
                  </c:pt>
                  <c:pt idx="4">
                    <c:v>Tablet</c:v>
                  </c:pt>
                  <c:pt idx="5">
                    <c:v>Laptop</c:v>
                  </c:pt>
                  <c:pt idx="6">
                    <c:v>Phone</c:v>
                  </c:pt>
                  <c:pt idx="7">
                    <c:v>Phone</c:v>
                  </c:pt>
                  <c:pt idx="8">
                    <c:v>Tablet</c:v>
                  </c:pt>
                </c:lvl>
                <c:lvl>
                  <c:pt idx="0">
                    <c:v>East</c:v>
                  </c:pt>
                  <c:pt idx="2">
                    <c:v>North</c:v>
                  </c:pt>
                  <c:pt idx="5">
                    <c:v>South</c:v>
                  </c:pt>
                  <c:pt idx="7">
                    <c:v>West</c:v>
                  </c:pt>
                </c:lvl>
              </c:multiLvlStrCache>
            </c:multiLvlStrRef>
          </c:cat>
          <c:val>
            <c:numRef>
              <c:f>Sheet2!$D$7:$D$20</c:f>
              <c:numCache>
                <c:formatCode>"₹"\ #,##0</c:formatCode>
                <c:ptCount val="9"/>
                <c:pt idx="1">
                  <c:v>25000</c:v>
                </c:pt>
                <c:pt idx="5">
                  <c:v>60000</c:v>
                </c:pt>
                <c:pt idx="7">
                  <c:v>40000</c:v>
                </c:pt>
              </c:numCache>
            </c:numRef>
          </c:val>
          <c:extLst>
            <c:ext xmlns:c16="http://schemas.microsoft.com/office/drawing/2014/chart" uri="{C3380CC4-5D6E-409C-BE32-E72D297353CC}">
              <c16:uniqueId val="{00000002-4C34-49AA-8413-E3EA20FA012B}"/>
            </c:ext>
          </c:extLst>
        </c:ser>
        <c:ser>
          <c:idx val="3"/>
          <c:order val="3"/>
          <c:tx>
            <c:strRef>
              <c:f>Sheet2!$E$3:$E$6</c:f>
              <c:strCache>
                <c:ptCount val="1"/>
                <c:pt idx="0">
                  <c:v>2026 - Qtr2 - Sum of Profit Margin</c:v>
                </c:pt>
              </c:strCache>
            </c:strRef>
          </c:tx>
          <c:spPr>
            <a:solidFill>
              <a:schemeClr val="accent4"/>
            </a:solidFill>
            <a:ln>
              <a:noFill/>
            </a:ln>
            <a:effectLst/>
          </c:spPr>
          <c:invertIfNegative val="0"/>
          <c:cat>
            <c:multiLvlStrRef>
              <c:f>Sheet2!$A$7:$A$20</c:f>
              <c:multiLvlStrCache>
                <c:ptCount val="9"/>
                <c:lvl>
                  <c:pt idx="0">
                    <c:v>Laptop</c:v>
                  </c:pt>
                  <c:pt idx="1">
                    <c:v>Tablet</c:v>
                  </c:pt>
                  <c:pt idx="2">
                    <c:v>Laptop</c:v>
                  </c:pt>
                  <c:pt idx="3">
                    <c:v>Phone</c:v>
                  </c:pt>
                  <c:pt idx="4">
                    <c:v>Tablet</c:v>
                  </c:pt>
                  <c:pt idx="5">
                    <c:v>Laptop</c:v>
                  </c:pt>
                  <c:pt idx="6">
                    <c:v>Phone</c:v>
                  </c:pt>
                  <c:pt idx="7">
                    <c:v>Phone</c:v>
                  </c:pt>
                  <c:pt idx="8">
                    <c:v>Tablet</c:v>
                  </c:pt>
                </c:lvl>
                <c:lvl>
                  <c:pt idx="0">
                    <c:v>East</c:v>
                  </c:pt>
                  <c:pt idx="2">
                    <c:v>North</c:v>
                  </c:pt>
                  <c:pt idx="5">
                    <c:v>South</c:v>
                  </c:pt>
                  <c:pt idx="7">
                    <c:v>West</c:v>
                  </c:pt>
                </c:lvl>
              </c:multiLvlStrCache>
            </c:multiLvlStrRef>
          </c:cat>
          <c:val>
            <c:numRef>
              <c:f>Sheet2!$E$7:$E$20</c:f>
              <c:numCache>
                <c:formatCode>"₹"\ #,##0</c:formatCode>
                <c:ptCount val="9"/>
                <c:pt idx="0">
                  <c:v>#N/A</c:v>
                </c:pt>
                <c:pt idx="1">
                  <c:v>0.32</c:v>
                </c:pt>
                <c:pt idx="2">
                  <c:v>#N/A</c:v>
                </c:pt>
                <c:pt idx="3">
                  <c:v>#N/A</c:v>
                </c:pt>
                <c:pt idx="4">
                  <c:v>#N/A</c:v>
                </c:pt>
                <c:pt idx="5">
                  <c:v>0.25</c:v>
                </c:pt>
                <c:pt idx="6">
                  <c:v>#N/A</c:v>
                </c:pt>
                <c:pt idx="7">
                  <c:v>0.3</c:v>
                </c:pt>
                <c:pt idx="8">
                  <c:v>#N/A</c:v>
                </c:pt>
              </c:numCache>
            </c:numRef>
          </c:val>
          <c:extLst>
            <c:ext xmlns:c16="http://schemas.microsoft.com/office/drawing/2014/chart" uri="{C3380CC4-5D6E-409C-BE32-E72D297353CC}">
              <c16:uniqueId val="{00000003-4C34-49AA-8413-E3EA20FA012B}"/>
            </c:ext>
          </c:extLst>
        </c:ser>
        <c:ser>
          <c:idx val="4"/>
          <c:order val="4"/>
          <c:tx>
            <c:strRef>
              <c:f>Sheet2!$F$3:$F$6</c:f>
              <c:strCache>
                <c:ptCount val="1"/>
                <c:pt idx="0">
                  <c:v>2026 - Qtr3 - Sum of Revenue</c:v>
                </c:pt>
              </c:strCache>
            </c:strRef>
          </c:tx>
          <c:spPr>
            <a:solidFill>
              <a:schemeClr val="accent5"/>
            </a:solidFill>
            <a:ln>
              <a:noFill/>
            </a:ln>
            <a:effectLst/>
          </c:spPr>
          <c:invertIfNegative val="0"/>
          <c:cat>
            <c:multiLvlStrRef>
              <c:f>Sheet2!$A$7:$A$20</c:f>
              <c:multiLvlStrCache>
                <c:ptCount val="9"/>
                <c:lvl>
                  <c:pt idx="0">
                    <c:v>Laptop</c:v>
                  </c:pt>
                  <c:pt idx="1">
                    <c:v>Tablet</c:v>
                  </c:pt>
                  <c:pt idx="2">
                    <c:v>Laptop</c:v>
                  </c:pt>
                  <c:pt idx="3">
                    <c:v>Phone</c:v>
                  </c:pt>
                  <c:pt idx="4">
                    <c:v>Tablet</c:v>
                  </c:pt>
                  <c:pt idx="5">
                    <c:v>Laptop</c:v>
                  </c:pt>
                  <c:pt idx="6">
                    <c:v>Phone</c:v>
                  </c:pt>
                  <c:pt idx="7">
                    <c:v>Phone</c:v>
                  </c:pt>
                  <c:pt idx="8">
                    <c:v>Tablet</c:v>
                  </c:pt>
                </c:lvl>
                <c:lvl>
                  <c:pt idx="0">
                    <c:v>East</c:v>
                  </c:pt>
                  <c:pt idx="2">
                    <c:v>North</c:v>
                  </c:pt>
                  <c:pt idx="5">
                    <c:v>South</c:v>
                  </c:pt>
                  <c:pt idx="7">
                    <c:v>West</c:v>
                  </c:pt>
                </c:lvl>
              </c:multiLvlStrCache>
            </c:multiLvlStrRef>
          </c:cat>
          <c:val>
            <c:numRef>
              <c:f>Sheet2!$F$7:$F$20</c:f>
              <c:numCache>
                <c:formatCode>"₹"\ #,##0</c:formatCode>
                <c:ptCount val="9"/>
                <c:pt idx="0">
                  <c:v>55000</c:v>
                </c:pt>
                <c:pt idx="4">
                  <c:v>28000</c:v>
                </c:pt>
                <c:pt idx="6">
                  <c:v>32000</c:v>
                </c:pt>
                <c:pt idx="8">
                  <c:v>22000</c:v>
                </c:pt>
              </c:numCache>
            </c:numRef>
          </c:val>
          <c:extLst>
            <c:ext xmlns:c16="http://schemas.microsoft.com/office/drawing/2014/chart" uri="{C3380CC4-5D6E-409C-BE32-E72D297353CC}">
              <c16:uniqueId val="{00000004-4C34-49AA-8413-E3EA20FA012B}"/>
            </c:ext>
          </c:extLst>
        </c:ser>
        <c:ser>
          <c:idx val="5"/>
          <c:order val="5"/>
          <c:tx>
            <c:strRef>
              <c:f>Sheet2!$G$3:$G$6</c:f>
              <c:strCache>
                <c:ptCount val="1"/>
                <c:pt idx="0">
                  <c:v>2026 - Qtr3 - Sum of Profit Margin</c:v>
                </c:pt>
              </c:strCache>
            </c:strRef>
          </c:tx>
          <c:spPr>
            <a:solidFill>
              <a:schemeClr val="accent6"/>
            </a:solidFill>
            <a:ln>
              <a:noFill/>
            </a:ln>
            <a:effectLst/>
          </c:spPr>
          <c:invertIfNegative val="0"/>
          <c:cat>
            <c:multiLvlStrRef>
              <c:f>Sheet2!$A$7:$A$20</c:f>
              <c:multiLvlStrCache>
                <c:ptCount val="9"/>
                <c:lvl>
                  <c:pt idx="0">
                    <c:v>Laptop</c:v>
                  </c:pt>
                  <c:pt idx="1">
                    <c:v>Tablet</c:v>
                  </c:pt>
                  <c:pt idx="2">
                    <c:v>Laptop</c:v>
                  </c:pt>
                  <c:pt idx="3">
                    <c:v>Phone</c:v>
                  </c:pt>
                  <c:pt idx="4">
                    <c:v>Tablet</c:v>
                  </c:pt>
                  <c:pt idx="5">
                    <c:v>Laptop</c:v>
                  </c:pt>
                  <c:pt idx="6">
                    <c:v>Phone</c:v>
                  </c:pt>
                  <c:pt idx="7">
                    <c:v>Phone</c:v>
                  </c:pt>
                  <c:pt idx="8">
                    <c:v>Tablet</c:v>
                  </c:pt>
                </c:lvl>
                <c:lvl>
                  <c:pt idx="0">
                    <c:v>East</c:v>
                  </c:pt>
                  <c:pt idx="2">
                    <c:v>North</c:v>
                  </c:pt>
                  <c:pt idx="5">
                    <c:v>South</c:v>
                  </c:pt>
                  <c:pt idx="7">
                    <c:v>West</c:v>
                  </c:pt>
                </c:lvl>
              </c:multiLvlStrCache>
            </c:multiLvlStrRef>
          </c:cat>
          <c:val>
            <c:numRef>
              <c:f>Sheet2!$G$7:$G$20</c:f>
              <c:numCache>
                <c:formatCode>"₹"\ #,##0</c:formatCode>
                <c:ptCount val="9"/>
                <c:pt idx="0">
                  <c:v>0.25454545454545452</c:v>
                </c:pt>
                <c:pt idx="1">
                  <c:v>#N/A</c:v>
                </c:pt>
                <c:pt idx="2">
                  <c:v>#N/A</c:v>
                </c:pt>
                <c:pt idx="3">
                  <c:v>#N/A</c:v>
                </c:pt>
                <c:pt idx="4">
                  <c:v>0.32142857142857145</c:v>
                </c:pt>
                <c:pt idx="5">
                  <c:v>#N/A</c:v>
                </c:pt>
                <c:pt idx="6">
                  <c:v>0.3125</c:v>
                </c:pt>
                <c:pt idx="7">
                  <c:v>#N/A</c:v>
                </c:pt>
                <c:pt idx="8">
                  <c:v>0.31818181818181818</c:v>
                </c:pt>
              </c:numCache>
            </c:numRef>
          </c:val>
          <c:extLst>
            <c:ext xmlns:c16="http://schemas.microsoft.com/office/drawing/2014/chart" uri="{C3380CC4-5D6E-409C-BE32-E72D297353CC}">
              <c16:uniqueId val="{00000005-4C34-49AA-8413-E3EA20FA012B}"/>
            </c:ext>
          </c:extLst>
        </c:ser>
        <c:dLbls>
          <c:showLegendKey val="0"/>
          <c:showVal val="0"/>
          <c:showCatName val="0"/>
          <c:showSerName val="0"/>
          <c:showPercent val="0"/>
          <c:showBubbleSize val="0"/>
        </c:dLbls>
        <c:gapWidth val="219"/>
        <c:overlap val="-27"/>
        <c:axId val="569370511"/>
        <c:axId val="618155503"/>
      </c:barChart>
      <c:catAx>
        <c:axId val="56937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55503"/>
        <c:crosses val="autoZero"/>
        <c:auto val="1"/>
        <c:lblAlgn val="ctr"/>
        <c:lblOffset val="100"/>
        <c:noMultiLvlLbl val="0"/>
      </c:catAx>
      <c:valAx>
        <c:axId val="618155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7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82670</xdr:colOff>
      <xdr:row>19</xdr:row>
      <xdr:rowOff>148805</xdr:rowOff>
    </xdr:from>
    <xdr:to>
      <xdr:col>4</xdr:col>
      <xdr:colOff>607444</xdr:colOff>
      <xdr:row>35</xdr:row>
      <xdr:rowOff>16534</xdr:rowOff>
    </xdr:to>
    <xdr:graphicFrame macro="">
      <xdr:nvGraphicFramePr>
        <xdr:cNvPr id="2" name="Chart 1">
          <a:extLst>
            <a:ext uri="{FF2B5EF4-FFF2-40B4-BE49-F238E27FC236}">
              <a16:creationId xmlns:a16="http://schemas.microsoft.com/office/drawing/2014/main" id="{0F321428-DD7B-ED7A-215C-6A6514123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286253</xdr:colOff>
      <xdr:row>21</xdr:row>
      <xdr:rowOff>100209</xdr:rowOff>
    </xdr:from>
    <xdr:to>
      <xdr:col>8</xdr:col>
      <xdr:colOff>777959</xdr:colOff>
      <xdr:row>35</xdr:row>
      <xdr:rowOff>51147</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FAD471E8-E943-015E-EAA5-EA476B2246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14725" y="387426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529087</xdr:colOff>
      <xdr:row>21</xdr:row>
      <xdr:rowOff>113006</xdr:rowOff>
    </xdr:from>
    <xdr:to>
      <xdr:col>7</xdr:col>
      <xdr:colOff>50321</xdr:colOff>
      <xdr:row>35</xdr:row>
      <xdr:rowOff>63944</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E0637545-D7FB-9A76-EFD7-A75CC32D597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049993" y="388706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ana" refreshedDate="46311.547515393519" createdVersion="8" refreshedVersion="8" minRefreshableVersion="3" recordCount="12" xr:uid="{35F378B7-8B3E-4D48-B0A2-CBD381164FA7}">
  <cacheSource type="worksheet">
    <worksheetSource name="SalesTable."/>
  </cacheSource>
  <cacheFields count="16">
    <cacheField name="Order_ID" numFmtId="0">
      <sharedItems containsSemiMixedTypes="0" containsString="0" containsNumber="1" containsInteger="1" minValue="1001" maxValue="1012"/>
    </cacheField>
    <cacheField name="Region" numFmtId="0">
      <sharedItems count="4">
        <s v="North"/>
        <s v="South"/>
        <s v="East"/>
        <s v="West"/>
      </sharedItems>
    </cacheField>
    <cacheField name="Product" numFmtId="0">
      <sharedItems count="3">
        <s v="Laptop"/>
        <s v="Phone"/>
        <s v="Tablet"/>
      </sharedItems>
    </cacheField>
    <cacheField name="Order_Date" numFmtId="14">
      <sharedItems containsSemiMixedTypes="0" containsNonDate="0" containsDate="1" containsString="0" minDate="2026-01-15T00:00:00" maxDate="2026-09-15T00:00:00" count="12">
        <d v="2026-01-15T00:00:00"/>
        <d v="2026-01-20T00:00:00"/>
        <d v="2026-02-10T00:00:00"/>
        <d v="2026-02-18T00:00:00"/>
        <d v="2026-03-05T00:00:00"/>
        <d v="2026-04-12T00:00:00"/>
        <d v="2026-04-22T00:00:00"/>
        <d v="2026-05-08T00:00:00"/>
        <d v="2026-07-11T00:00:00"/>
        <d v="2026-07-19T00:00:00"/>
        <d v="2026-08-03T00:00:00"/>
        <d v="2026-09-14T00:00:00"/>
      </sharedItems>
      <fieldGroup par="13"/>
    </cacheField>
    <cacheField name="Revenue" numFmtId="0">
      <sharedItems containsSemiMixedTypes="0" containsString="0" containsNumber="1" containsInteger="1" minValue="20000" maxValue="60000"/>
    </cacheField>
    <cacheField name="Cost" numFmtId="0">
      <sharedItems containsSemiMixedTypes="0" containsString="0" containsNumber="1" containsInteger="1" minValue="14000" maxValue="45000"/>
    </cacheField>
    <cacheField name="Profit" numFmtId="0">
      <sharedItems containsSemiMixedTypes="0" containsString="0" containsNumber="1" containsInteger="1" minValue="6000" maxValue="15000"/>
    </cacheField>
    <cacheField name="Profit_Margin" numFmtId="9">
      <sharedItems containsSemiMixedTypes="0" containsString="0" containsNumber="1" minValue="0.24" maxValue="0.32142857142857145"/>
    </cacheField>
    <cacheField name="Quarter" numFmtId="0">
      <sharedItems/>
    </cacheField>
    <cacheField name="Revenue_Growth_%" numFmtId="0">
      <sharedItems containsNonDate="0" containsString="0" containsBlank="1"/>
    </cacheField>
    <cacheField name="Days (Order_Date)" numFmtId="0" databaseField="0">
      <fieldGroup base="3">
        <rangePr groupBy="days" startDate="2026-01-15T00:00:00" endDate="2026-09-15T00:00:00"/>
        <groupItems count="368">
          <s v="&lt;1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9-2026"/>
        </groupItems>
      </fieldGroup>
    </cacheField>
    <cacheField name="Months (Order_Date)" numFmtId="0" databaseField="0">
      <fieldGroup base="3">
        <rangePr groupBy="months" startDate="2026-01-15T00:00:00" endDate="2026-09-15T00:00:00"/>
        <groupItems count="14">
          <s v="&lt;15-01-2026"/>
          <s v="Jan"/>
          <s v="Feb"/>
          <s v="Mar"/>
          <s v="Apr"/>
          <s v="May"/>
          <s v="Jun"/>
          <s v="Jul"/>
          <s v="Aug"/>
          <s v="Sep"/>
          <s v="Oct"/>
          <s v="Nov"/>
          <s v="Dec"/>
          <s v="&gt;15-09-2026"/>
        </groupItems>
      </fieldGroup>
    </cacheField>
    <cacheField name="Quarters (Order_Date)" numFmtId="0" databaseField="0">
      <fieldGroup base="3">
        <rangePr groupBy="quarters" startDate="2026-01-15T00:00:00" endDate="2026-09-15T00:00:00"/>
        <groupItems count="6">
          <s v="&lt;15-01-2026"/>
          <s v="Qtr1"/>
          <s v="Qtr2"/>
          <s v="Qtr3"/>
          <s v="Qtr4"/>
          <s v="&gt;15-09-2026"/>
        </groupItems>
      </fieldGroup>
    </cacheField>
    <cacheField name="Years (Order_Date)" numFmtId="0" databaseField="0">
      <fieldGroup base="3">
        <rangePr groupBy="years" startDate="2026-01-15T00:00:00" endDate="2026-09-15T00:00:00"/>
        <groupItems count="3">
          <s v="&lt;15-01-2026"/>
          <s v="2026"/>
          <s v="&gt;15-09-2026"/>
        </groupItems>
      </fieldGroup>
    </cacheField>
    <cacheField name="Profit2" numFmtId="0" formula="Revenue-Cost" databaseField="0"/>
    <cacheField name="Profit Margin" numFmtId="0" formula="(Revenue-Cost)/Revenue" databaseField="0"/>
  </cacheFields>
  <extLst>
    <ext xmlns:x14="http://schemas.microsoft.com/office/spreadsheetml/2009/9/main" uri="{725AE2AE-9491-48be-B2B4-4EB974FC3084}">
      <x14:pivotCacheDefinition pivotCacheId="1764718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001"/>
    <x v="0"/>
    <x v="0"/>
    <x v="0"/>
    <n v="50000"/>
    <n v="38000"/>
    <n v="12000"/>
    <n v="0.24"/>
    <s v="Q1"/>
    <m/>
  </r>
  <r>
    <n v="1002"/>
    <x v="1"/>
    <x v="1"/>
    <x v="1"/>
    <n v="30000"/>
    <n v="21000"/>
    <n v="9000"/>
    <n v="0.3"/>
    <s v="Q1"/>
    <m/>
  </r>
  <r>
    <n v="1003"/>
    <x v="2"/>
    <x v="0"/>
    <x v="2"/>
    <n v="45000"/>
    <n v="34000"/>
    <n v="11000"/>
    <n v="0.24444444444444444"/>
    <s v="Q1"/>
    <m/>
  </r>
  <r>
    <n v="1004"/>
    <x v="3"/>
    <x v="2"/>
    <x v="3"/>
    <n v="20000"/>
    <n v="14000"/>
    <n v="6000"/>
    <n v="0.3"/>
    <s v="Q1"/>
    <m/>
  </r>
  <r>
    <n v="1005"/>
    <x v="0"/>
    <x v="1"/>
    <x v="4"/>
    <n v="35000"/>
    <n v="24000"/>
    <n v="11000"/>
    <n v="0.31428571428571428"/>
    <s v="Q1"/>
    <m/>
  </r>
  <r>
    <n v="1006"/>
    <x v="1"/>
    <x v="0"/>
    <x v="5"/>
    <n v="60000"/>
    <n v="45000"/>
    <n v="15000"/>
    <n v="0.25"/>
    <s v="Q2"/>
    <m/>
  </r>
  <r>
    <n v="1007"/>
    <x v="2"/>
    <x v="2"/>
    <x v="6"/>
    <n v="25000"/>
    <n v="17000"/>
    <n v="8000"/>
    <n v="0.32"/>
    <s v="Q2"/>
    <m/>
  </r>
  <r>
    <n v="1008"/>
    <x v="3"/>
    <x v="1"/>
    <x v="7"/>
    <n v="40000"/>
    <n v="28000"/>
    <n v="12000"/>
    <n v="0.3"/>
    <s v="Q2"/>
    <m/>
  </r>
  <r>
    <n v="1009"/>
    <x v="0"/>
    <x v="2"/>
    <x v="8"/>
    <n v="28000"/>
    <n v="19000"/>
    <n v="9000"/>
    <n v="0.32142857142857145"/>
    <s v="Q3"/>
    <m/>
  </r>
  <r>
    <n v="1010"/>
    <x v="1"/>
    <x v="1"/>
    <x v="9"/>
    <n v="32000"/>
    <n v="22000"/>
    <n v="10000"/>
    <n v="0.3125"/>
    <s v="Q3"/>
    <m/>
  </r>
  <r>
    <n v="1011"/>
    <x v="2"/>
    <x v="0"/>
    <x v="10"/>
    <n v="55000"/>
    <n v="41000"/>
    <n v="14000"/>
    <n v="0.25454545454545452"/>
    <s v="Q3"/>
    <m/>
  </r>
  <r>
    <n v="1012"/>
    <x v="3"/>
    <x v="2"/>
    <x v="11"/>
    <n v="22000"/>
    <n v="15000"/>
    <n v="7000"/>
    <n v="0.31818181818181818"/>
    <s v="Q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E28A65-F79D-4EFD-80B8-8DA32528DB02}"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K20" firstHeaderRow="1" firstDataRow="4" firstDataCol="1"/>
  <pivotFields count="16">
    <pivotField showAll="0"/>
    <pivotField axis="axisRow" showAll="0">
      <items count="5">
        <item x="2"/>
        <item x="0"/>
        <item x="1"/>
        <item x="3"/>
        <item t="default"/>
      </items>
    </pivotField>
    <pivotField axis="axisRow" showAll="0">
      <items count="4">
        <item x="0"/>
        <item x="1"/>
        <item x="2"/>
        <item t="default"/>
      </items>
    </pivotField>
    <pivotField numFmtId="14" showAll="0">
      <items count="13">
        <item x="0"/>
        <item x="1"/>
        <item x="2"/>
        <item x="3"/>
        <item x="4"/>
        <item x="5"/>
        <item x="6"/>
        <item x="7"/>
        <item x="8"/>
        <item x="9"/>
        <item x="10"/>
        <item x="11"/>
        <item t="default"/>
      </items>
    </pivotField>
    <pivotField dataField="1" showAll="0"/>
    <pivotField showAll="0"/>
    <pivotField showAll="0"/>
    <pivotField numFmtId="9"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sd="0" x="1"/>
        <item sd="0" x="2"/>
        <item x="3"/>
        <item x="4"/>
        <item x="5"/>
        <item x="6"/>
        <item x="7"/>
        <item x="8"/>
        <item x="9"/>
        <item x="10"/>
        <item x="11"/>
        <item x="12"/>
        <item x="13"/>
        <item t="default"/>
      </items>
    </pivotField>
    <pivotField axis="axisCol" showAll="0">
      <items count="7">
        <item x="0"/>
        <item x="1"/>
        <item x="2"/>
        <item x="3"/>
        <item x="4"/>
        <item x="5"/>
        <item t="default"/>
      </items>
    </pivotField>
    <pivotField axis="axisCol" showAll="0">
      <items count="4">
        <item x="0"/>
        <item x="1"/>
        <item x="2"/>
        <item t="default"/>
      </items>
    </pivotField>
    <pivotField dragToRow="0" dragToCol="0" dragToPage="0" showAll="0"/>
    <pivotField dataField="1" dragToRow="0" dragToCol="0" dragToPage="0" showAll="0" defaultSubtotal="0"/>
  </pivotFields>
  <rowFields count="2">
    <field x="1"/>
    <field x="2"/>
  </rowFields>
  <rowItems count="14">
    <i>
      <x/>
    </i>
    <i r="1">
      <x/>
    </i>
    <i r="1">
      <x v="2"/>
    </i>
    <i>
      <x v="1"/>
    </i>
    <i r="1">
      <x/>
    </i>
    <i r="1">
      <x v="1"/>
    </i>
    <i r="1">
      <x v="2"/>
    </i>
    <i>
      <x v="2"/>
    </i>
    <i r="1">
      <x/>
    </i>
    <i r="1">
      <x v="1"/>
    </i>
    <i>
      <x v="3"/>
    </i>
    <i r="1">
      <x v="1"/>
    </i>
    <i r="1">
      <x v="2"/>
    </i>
    <i t="grand">
      <x/>
    </i>
  </rowItems>
  <colFields count="3">
    <field x="13"/>
    <field x="12"/>
    <field x="-2"/>
  </colFields>
  <colItems count="10">
    <i>
      <x v="1"/>
      <x v="1"/>
      <x/>
    </i>
    <i r="2" i="1">
      <x v="1"/>
    </i>
    <i r="1">
      <x v="2"/>
      <x/>
    </i>
    <i r="2" i="1">
      <x v="1"/>
    </i>
    <i r="1">
      <x v="3"/>
      <x/>
    </i>
    <i r="2" i="1">
      <x v="1"/>
    </i>
    <i t="default">
      <x v="1"/>
    </i>
    <i t="default" i="1">
      <x v="1"/>
    </i>
    <i t="grand">
      <x/>
    </i>
    <i t="grand" i="1">
      <x/>
    </i>
  </colItems>
  <dataFields count="2">
    <dataField name="Sum of Revenue" fld="4" baseField="0" baseItem="0" numFmtId="168"/>
    <dataField name="Sum of Profit Margin" fld="15" baseField="0" baseItem="0" numFmtId="168"/>
  </dataFields>
  <conditionalFormats count="1">
    <conditionalFormat priority="1">
      <pivotAreas count="1">
        <pivotArea type="data" collapsedLevelsAreSubtotals="1" fieldPosition="0">
          <references count="5">
            <reference field="4294967294" count="1" selected="0">
              <x v="1"/>
            </reference>
            <reference field="1" count="1" selected="0">
              <x v="1"/>
            </reference>
            <reference field="2" count="1">
              <x v="0"/>
            </reference>
            <reference field="12" count="1" selected="0">
              <x v="1"/>
            </reference>
            <reference field="13" count="1" selected="0">
              <x v="1"/>
            </reference>
          </references>
        </pivotArea>
      </pivotAreas>
    </conditionalFormat>
  </conditionalFormats>
  <chartFormats count="6">
    <chartFormat chart="0" format="0" series="1">
      <pivotArea type="data" outline="0" fieldPosition="0">
        <references count="3">
          <reference field="4294967294" count="1" selected="0">
            <x v="0"/>
          </reference>
          <reference field="12" count="1" selected="0">
            <x v="1"/>
          </reference>
          <reference field="13" count="1" selected="0">
            <x v="1"/>
          </reference>
        </references>
      </pivotArea>
    </chartFormat>
    <chartFormat chart="0" format="2" series="1">
      <pivotArea type="data" outline="0" fieldPosition="0">
        <references count="3">
          <reference field="4294967294" count="1" selected="0">
            <x v="1"/>
          </reference>
          <reference field="12" count="1" selected="0">
            <x v="1"/>
          </reference>
          <reference field="13" count="1" selected="0">
            <x v="1"/>
          </reference>
        </references>
      </pivotArea>
    </chartFormat>
    <chartFormat chart="0" format="3" series="1">
      <pivotArea type="data" outline="0" fieldPosition="0">
        <references count="3">
          <reference field="4294967294" count="1" selected="0">
            <x v="0"/>
          </reference>
          <reference field="12" count="1" selected="0">
            <x v="2"/>
          </reference>
          <reference field="13" count="1" selected="0">
            <x v="1"/>
          </reference>
        </references>
      </pivotArea>
    </chartFormat>
    <chartFormat chart="0" format="5" series="1">
      <pivotArea type="data" outline="0" fieldPosition="0">
        <references count="3">
          <reference field="4294967294" count="1" selected="0">
            <x v="1"/>
          </reference>
          <reference field="12" count="1" selected="0">
            <x v="2"/>
          </reference>
          <reference field="13" count="1" selected="0">
            <x v="1"/>
          </reference>
        </references>
      </pivotArea>
    </chartFormat>
    <chartFormat chart="0" format="6" series="1">
      <pivotArea type="data" outline="0" fieldPosition="0">
        <references count="3">
          <reference field="4294967294" count="1" selected="0">
            <x v="0"/>
          </reference>
          <reference field="12" count="1" selected="0">
            <x v="3"/>
          </reference>
          <reference field="13" count="1" selected="0">
            <x v="1"/>
          </reference>
        </references>
      </pivotArea>
    </chartFormat>
    <chartFormat chart="0" format="8" series="1">
      <pivotArea type="data" outline="0" fieldPosition="0">
        <references count="3">
          <reference field="4294967294" count="1" selected="0">
            <x v="1"/>
          </reference>
          <reference field="12" count="1" selected="0">
            <x v="3"/>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141DE9-C74F-4F52-84BC-7BCFDC2AD84A}" autoFormatId="16" applyNumberFormats="0" applyBorderFormats="0" applyFontFormats="0" applyPatternFormats="0" applyAlignmentFormats="0" applyWidthHeightFormats="0">
  <queryTableRefresh nextId="8">
    <queryTableFields count="7">
      <queryTableField id="1" name="Source.Name" tableColumnId="1"/>
      <queryTableField id="2" name="Order_ID" tableColumnId="2"/>
      <queryTableField id="3" name="Region" tableColumnId="3"/>
      <queryTableField id="4" name="Product" tableColumnId="4"/>
      <queryTableField id="5" name="Order_Date" tableColumnId="5"/>
      <queryTableField id="6" name="Revenue" tableColumnId="6"/>
      <queryTableField id="7" name="Cos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1FE73D-CD02-41D9-8CC6-9D568E165761}" sourceName="Region">
  <pivotTables>
    <pivotTable tabId="2" name="PivotTable1"/>
  </pivotTables>
  <data>
    <tabular pivotCacheId="176471857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84B7B98-CDE4-4944-BF27-A74121FCE351}" sourceName="Product">
  <pivotTables>
    <pivotTable tabId="2" name="PivotTable1"/>
  </pivotTables>
  <data>
    <tabular pivotCacheId="176471857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20773E-4029-49B2-9A85-FB8B79B7D1D0}" cache="Slicer_Region" caption="Region" rowHeight="234950"/>
  <slicer name="Product" xr10:uid="{A6F9865A-1F7D-4424-B14D-0FD827094638}" cache="Slicer_Product" caption="Produc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AE8C71-ADF4-4D2D-8C73-58176DBEE8A0}" name="excel_sales_data" displayName="excel_sales_data" ref="A1:G7" tableType="queryTable" totalsRowShown="0">
  <autoFilter ref="A1:G7" xr:uid="{D1AE8C71-ADF4-4D2D-8C73-58176DBEE8A0}"/>
  <tableColumns count="7">
    <tableColumn id="1" xr3:uid="{E6DC0A96-6837-4687-A49C-26FF70C84D4B}" uniqueName="1" name="Source.Name" queryTableFieldId="1" dataDxfId="3"/>
    <tableColumn id="2" xr3:uid="{03004517-BBD8-4748-BBC1-E723EEB170EB}" uniqueName="2" name="Order_ID" queryTableFieldId="2"/>
    <tableColumn id="3" xr3:uid="{744D0D57-1889-443C-B6BB-436B98D66E19}" uniqueName="3" name="Region" queryTableFieldId="3" dataDxfId="2"/>
    <tableColumn id="4" xr3:uid="{C750DB6E-3497-490B-A96C-DBBC9541613A}" uniqueName="4" name="Product" queryTableFieldId="4" dataDxfId="1"/>
    <tableColumn id="5" xr3:uid="{4D8A598F-FFC9-4309-A07C-2E1F965C56CC}" uniqueName="5" name="Order_Date" queryTableFieldId="5" dataDxfId="0"/>
    <tableColumn id="6" xr3:uid="{BDCA3529-1533-483E-B88B-495F5DC133FB}" uniqueName="6" name="Revenue" queryTableFieldId="6"/>
    <tableColumn id="7" xr3:uid="{C405928F-D5C8-489D-846C-47902E55606F}" uniqueName="7" name="Cost"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AED801-43C7-4114-9FC8-90BBE34C098E}" name="SalesTable." displayName="SalesTable." ref="A1:J13" totalsRowShown="0" headerRowDxfId="9" dataDxfId="10">
  <autoFilter ref="A1:J13" xr:uid="{CBAED801-43C7-4114-9FC8-90BBE34C098E}"/>
  <tableColumns count="10">
    <tableColumn id="1" xr3:uid="{D1F32637-247B-47F5-ACF4-DD2F7EF57D7B}" name="Order_ID" dataDxfId="16"/>
    <tableColumn id="2" xr3:uid="{CDA1FCF4-D1B8-400C-B594-A64BF1F1E0CA}" name="Region" dataDxfId="15"/>
    <tableColumn id="3" xr3:uid="{C56A5423-76D7-44CD-B324-A2B20600770A}" name="Product" dataDxfId="14"/>
    <tableColumn id="4" xr3:uid="{CEF6A59B-D2D1-4AC8-808D-16E1A6C34D01}" name="Order_Date" dataDxfId="13"/>
    <tableColumn id="5" xr3:uid="{8354B89D-634F-407A-980F-27A599A147BC}" name="Revenue" dataDxfId="12"/>
    <tableColumn id="6" xr3:uid="{BB47DA89-BDEB-417F-B45F-BDE9D3ED4E3E}" name="Cost" dataDxfId="11"/>
    <tableColumn id="7" xr3:uid="{C3AF7A36-660B-456F-9899-EDB8C7314FF9}" name="Profit" dataDxfId="7">
      <calculatedColumnFormula>E2-F2</calculatedColumnFormula>
    </tableColumn>
    <tableColumn id="8" xr3:uid="{A9F582EA-4595-4694-80B9-6708E19CBBF9}" name="Profit_Margin" dataDxfId="6" dataCellStyle="Percent">
      <calculatedColumnFormula>IFERROR(G2/E2,0)</calculatedColumnFormula>
    </tableColumn>
    <tableColumn id="9" xr3:uid="{2BF8FFA9-E671-4104-A6C7-855061FAA778}" name="Quarter" dataDxfId="5">
      <calculatedColumnFormula>"Q"&amp;ROUNDUP(MONTH(D2)/3,0)</calculatedColumnFormula>
    </tableColumn>
    <tableColumn id="10" xr3:uid="{9CCF8DF9-9952-4908-9EE5-EDD37A1B9D26}" name="Revenue_Growth_%"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CFE62-45F6-49AC-8862-3376AAAD86F1}">
  <dimension ref="A1:G7"/>
  <sheetViews>
    <sheetView workbookViewId="0">
      <selection activeCell="A2" sqref="A2"/>
    </sheetView>
  </sheetViews>
  <sheetFormatPr defaultRowHeight="14.4" x14ac:dyDescent="0.3"/>
  <cols>
    <col min="1" max="1" width="14.5546875" bestFit="1" customWidth="1"/>
    <col min="2" max="2" width="10.77734375" bestFit="1" customWidth="1"/>
    <col min="3" max="3" width="9" bestFit="1" customWidth="1"/>
    <col min="4" max="4" width="9.88671875" bestFit="1" customWidth="1"/>
    <col min="5" max="5" width="12.88671875" bestFit="1" customWidth="1"/>
    <col min="6" max="6" width="10.5546875" bestFit="1" customWidth="1"/>
    <col min="7" max="7" width="6.88671875" bestFit="1" customWidth="1"/>
  </cols>
  <sheetData>
    <row r="1" spans="1:7" x14ac:dyDescent="0.3">
      <c r="A1" t="s">
        <v>26</v>
      </c>
      <c r="B1" t="s">
        <v>0</v>
      </c>
      <c r="C1" t="s">
        <v>1</v>
      </c>
      <c r="D1" t="s">
        <v>2</v>
      </c>
      <c r="E1" t="s">
        <v>3</v>
      </c>
      <c r="F1" t="s">
        <v>4</v>
      </c>
      <c r="G1" t="s">
        <v>5</v>
      </c>
    </row>
    <row r="2" spans="1:7" x14ac:dyDescent="0.3">
      <c r="A2" s="8" t="s">
        <v>27</v>
      </c>
      <c r="B2">
        <v>1016</v>
      </c>
      <c r="C2" s="8" t="s">
        <v>11</v>
      </c>
      <c r="D2" s="8" t="s">
        <v>7</v>
      </c>
      <c r="E2" s="3">
        <v>46307</v>
      </c>
      <c r="F2">
        <v>48000</v>
      </c>
      <c r="G2">
        <v>36000</v>
      </c>
    </row>
    <row r="3" spans="1:7" x14ac:dyDescent="0.3">
      <c r="A3" s="8" t="s">
        <v>27</v>
      </c>
      <c r="B3">
        <v>1017</v>
      </c>
      <c r="C3" s="8" t="s">
        <v>6</v>
      </c>
      <c r="D3" s="8" t="s">
        <v>9</v>
      </c>
      <c r="E3" s="3">
        <v>46310</v>
      </c>
      <c r="F3">
        <v>36000</v>
      </c>
      <c r="G3">
        <v>25000</v>
      </c>
    </row>
    <row r="4" spans="1:7" x14ac:dyDescent="0.3">
      <c r="A4" s="8" t="s">
        <v>27</v>
      </c>
      <c r="B4">
        <v>1018</v>
      </c>
      <c r="C4" s="8" t="s">
        <v>8</v>
      </c>
      <c r="D4" s="8" t="s">
        <v>12</v>
      </c>
      <c r="E4" s="3">
        <v>46313</v>
      </c>
      <c r="F4">
        <v>26000</v>
      </c>
      <c r="G4">
        <v>18000</v>
      </c>
    </row>
    <row r="5" spans="1:7" x14ac:dyDescent="0.3">
      <c r="A5" s="8" t="s">
        <v>28</v>
      </c>
      <c r="B5">
        <v>1013</v>
      </c>
      <c r="C5" s="8" t="s">
        <v>6</v>
      </c>
      <c r="D5" s="8" t="s">
        <v>7</v>
      </c>
      <c r="E5" s="3">
        <v>46300</v>
      </c>
      <c r="F5">
        <v>52000</v>
      </c>
      <c r="G5">
        <v>39000</v>
      </c>
    </row>
    <row r="6" spans="1:7" x14ac:dyDescent="0.3">
      <c r="A6" s="8" t="s">
        <v>28</v>
      </c>
      <c r="B6">
        <v>1014</v>
      </c>
      <c r="C6" s="8" t="s">
        <v>8</v>
      </c>
      <c r="D6" s="8" t="s">
        <v>9</v>
      </c>
      <c r="E6" s="3">
        <v>46303</v>
      </c>
      <c r="F6">
        <v>33000</v>
      </c>
      <c r="G6">
        <v>23000</v>
      </c>
    </row>
    <row r="7" spans="1:7" x14ac:dyDescent="0.3">
      <c r="A7" s="8" t="s">
        <v>28</v>
      </c>
      <c r="B7">
        <v>1015</v>
      </c>
      <c r="C7" s="8" t="s">
        <v>10</v>
      </c>
      <c r="D7" s="8" t="s">
        <v>12</v>
      </c>
      <c r="E7" s="3">
        <v>46305</v>
      </c>
      <c r="F7">
        <v>24000</v>
      </c>
      <c r="G7">
        <v>16000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415C-22AF-4BFE-AF71-234776E2DBF1}">
  <dimension ref="A3:K20"/>
  <sheetViews>
    <sheetView tabSelected="1" zoomScale="106" workbookViewId="0">
      <selection activeCell="F23" sqref="F23"/>
    </sheetView>
  </sheetViews>
  <sheetFormatPr defaultRowHeight="14.4" x14ac:dyDescent="0.3"/>
  <cols>
    <col min="1" max="1" width="12.5546875" bestFit="1" customWidth="1"/>
    <col min="2" max="2" width="15.5546875" bestFit="1" customWidth="1"/>
    <col min="3" max="3" width="18.77734375" bestFit="1" customWidth="1"/>
    <col min="4" max="4" width="14.88671875" bestFit="1" customWidth="1"/>
    <col min="5" max="5" width="18.77734375" bestFit="1" customWidth="1"/>
    <col min="6" max="6" width="14.88671875" bestFit="1" customWidth="1"/>
    <col min="7" max="7" width="18.77734375" bestFit="1" customWidth="1"/>
    <col min="8" max="8" width="19.44140625" bestFit="1" customWidth="1"/>
    <col min="9" max="9" width="23.33203125" bestFit="1" customWidth="1"/>
    <col min="10" max="10" width="19.6640625" bestFit="1" customWidth="1"/>
    <col min="11" max="11" width="23.5546875" bestFit="1" customWidth="1"/>
    <col min="12" max="12" width="16.6640625" bestFit="1" customWidth="1"/>
    <col min="13" max="13" width="23.33203125" bestFit="1" customWidth="1"/>
    <col min="14" max="14" width="19.6640625" bestFit="1" customWidth="1"/>
    <col min="15" max="15" width="16.88671875" bestFit="1" customWidth="1"/>
    <col min="16" max="16" width="23.5546875" bestFit="1" customWidth="1"/>
    <col min="17" max="17" width="9.77734375" bestFit="1" customWidth="1"/>
    <col min="18" max="18" width="10.77734375" bestFit="1" customWidth="1"/>
    <col min="19" max="19" width="9" bestFit="1" customWidth="1"/>
    <col min="20" max="20" width="9.6640625" bestFit="1" customWidth="1"/>
    <col min="21" max="21" width="10" bestFit="1" customWidth="1"/>
    <col min="22" max="22" width="11.109375" bestFit="1" customWidth="1"/>
    <col min="23" max="23" width="10" bestFit="1" customWidth="1"/>
    <col min="24" max="24" width="11.109375" bestFit="1" customWidth="1"/>
    <col min="25" max="25" width="9.6640625" bestFit="1" customWidth="1"/>
    <col min="26" max="26" width="10.77734375" bestFit="1" customWidth="1"/>
  </cols>
  <sheetData>
    <row r="3" spans="1:11" x14ac:dyDescent="0.3">
      <c r="B3" s="5" t="s">
        <v>16</v>
      </c>
    </row>
    <row r="4" spans="1:11" x14ac:dyDescent="0.3">
      <c r="B4" t="s">
        <v>17</v>
      </c>
      <c r="H4" t="s">
        <v>21</v>
      </c>
      <c r="I4" t="s">
        <v>23</v>
      </c>
      <c r="J4" t="s">
        <v>22</v>
      </c>
      <c r="K4" t="s">
        <v>24</v>
      </c>
    </row>
    <row r="5" spans="1:11" x14ac:dyDescent="0.3">
      <c r="B5" t="s">
        <v>18</v>
      </c>
      <c r="D5" t="s">
        <v>19</v>
      </c>
      <c r="F5" t="s">
        <v>20</v>
      </c>
    </row>
    <row r="6" spans="1:11" x14ac:dyDescent="0.3">
      <c r="A6" s="5" t="s">
        <v>13</v>
      </c>
      <c r="B6" t="s">
        <v>15</v>
      </c>
      <c r="C6" t="s">
        <v>25</v>
      </c>
      <c r="D6" t="s">
        <v>15</v>
      </c>
      <c r="E6" t="s">
        <v>25</v>
      </c>
      <c r="F6" t="s">
        <v>15</v>
      </c>
      <c r="G6" t="s">
        <v>25</v>
      </c>
    </row>
    <row r="7" spans="1:11" x14ac:dyDescent="0.3">
      <c r="A7" s="6" t="s">
        <v>10</v>
      </c>
      <c r="B7" s="9">
        <v>45000</v>
      </c>
      <c r="C7" s="9">
        <v>0.24444444444444444</v>
      </c>
      <c r="D7" s="9">
        <v>25000</v>
      </c>
      <c r="E7" s="9">
        <v>0.32</v>
      </c>
      <c r="F7" s="9">
        <v>55000</v>
      </c>
      <c r="G7" s="9">
        <v>0.25454545454545452</v>
      </c>
      <c r="H7" s="9">
        <v>125000</v>
      </c>
      <c r="I7" s="9">
        <v>0.26400000000000001</v>
      </c>
      <c r="J7" s="9">
        <v>125000</v>
      </c>
      <c r="K7" s="9">
        <v>0.26400000000000001</v>
      </c>
    </row>
    <row r="8" spans="1:11" x14ac:dyDescent="0.3">
      <c r="A8" s="7" t="s">
        <v>7</v>
      </c>
      <c r="B8" s="9">
        <v>45000</v>
      </c>
      <c r="C8" s="9">
        <v>0.24444444444444444</v>
      </c>
      <c r="D8" s="9"/>
      <c r="E8" s="9" t="e">
        <v>#DIV/0!</v>
      </c>
      <c r="F8" s="9">
        <v>55000</v>
      </c>
      <c r="G8" s="9">
        <v>0.25454545454545452</v>
      </c>
      <c r="H8" s="9">
        <v>100000</v>
      </c>
      <c r="I8" s="9">
        <v>0.25</v>
      </c>
      <c r="J8" s="9">
        <v>100000</v>
      </c>
      <c r="K8" s="9">
        <v>0.25</v>
      </c>
    </row>
    <row r="9" spans="1:11" x14ac:dyDescent="0.3">
      <c r="A9" s="7" t="s">
        <v>12</v>
      </c>
      <c r="B9" s="9"/>
      <c r="C9" s="9" t="e">
        <v>#DIV/0!</v>
      </c>
      <c r="D9" s="9">
        <v>25000</v>
      </c>
      <c r="E9" s="9">
        <v>0.32</v>
      </c>
      <c r="F9" s="9"/>
      <c r="G9" s="9" t="e">
        <v>#DIV/0!</v>
      </c>
      <c r="H9" s="9">
        <v>25000</v>
      </c>
      <c r="I9" s="9">
        <v>0.32</v>
      </c>
      <c r="J9" s="9">
        <v>25000</v>
      </c>
      <c r="K9" s="9">
        <v>0.32</v>
      </c>
    </row>
    <row r="10" spans="1:11" x14ac:dyDescent="0.3">
      <c r="A10" s="6" t="s">
        <v>6</v>
      </c>
      <c r="B10" s="9">
        <v>85000</v>
      </c>
      <c r="C10" s="9">
        <v>0.27058823529411763</v>
      </c>
      <c r="D10" s="9"/>
      <c r="E10" s="9" t="e">
        <v>#DIV/0!</v>
      </c>
      <c r="F10" s="9">
        <v>28000</v>
      </c>
      <c r="G10" s="9">
        <v>0.32142857142857145</v>
      </c>
      <c r="H10" s="9">
        <v>113000</v>
      </c>
      <c r="I10" s="9">
        <v>0.2831858407079646</v>
      </c>
      <c r="J10" s="9">
        <v>113000</v>
      </c>
      <c r="K10" s="9">
        <v>0.2831858407079646</v>
      </c>
    </row>
    <row r="11" spans="1:11" x14ac:dyDescent="0.3">
      <c r="A11" s="7" t="s">
        <v>7</v>
      </c>
      <c r="B11" s="9">
        <v>50000</v>
      </c>
      <c r="C11" s="9">
        <v>0.24</v>
      </c>
      <c r="D11" s="9"/>
      <c r="E11" s="9" t="e">
        <v>#DIV/0!</v>
      </c>
      <c r="F11" s="9"/>
      <c r="G11" s="9" t="e">
        <v>#DIV/0!</v>
      </c>
      <c r="H11" s="9">
        <v>50000</v>
      </c>
      <c r="I11" s="9">
        <v>0.24</v>
      </c>
      <c r="J11" s="9">
        <v>50000</v>
      </c>
      <c r="K11" s="9">
        <v>0.24</v>
      </c>
    </row>
    <row r="12" spans="1:11" x14ac:dyDescent="0.3">
      <c r="A12" s="7" t="s">
        <v>9</v>
      </c>
      <c r="B12" s="9">
        <v>35000</v>
      </c>
      <c r="C12" s="9">
        <v>0.31428571428571428</v>
      </c>
      <c r="D12" s="9"/>
      <c r="E12" s="9" t="e">
        <v>#DIV/0!</v>
      </c>
      <c r="F12" s="9"/>
      <c r="G12" s="9" t="e">
        <v>#DIV/0!</v>
      </c>
      <c r="H12" s="9">
        <v>35000</v>
      </c>
      <c r="I12" s="9">
        <v>0.31428571428571428</v>
      </c>
      <c r="J12" s="9">
        <v>35000</v>
      </c>
      <c r="K12" s="9">
        <v>0.31428571428571428</v>
      </c>
    </row>
    <row r="13" spans="1:11" x14ac:dyDescent="0.3">
      <c r="A13" s="7" t="s">
        <v>12</v>
      </c>
      <c r="B13" s="9"/>
      <c r="C13" s="9" t="e">
        <v>#DIV/0!</v>
      </c>
      <c r="D13" s="9"/>
      <c r="E13" s="9" t="e">
        <v>#DIV/0!</v>
      </c>
      <c r="F13" s="9">
        <v>28000</v>
      </c>
      <c r="G13" s="9">
        <v>0.32142857142857145</v>
      </c>
      <c r="H13" s="9">
        <v>28000</v>
      </c>
      <c r="I13" s="9">
        <v>0.32142857142857145</v>
      </c>
      <c r="J13" s="9">
        <v>28000</v>
      </c>
      <c r="K13" s="9">
        <v>0.32142857142857145</v>
      </c>
    </row>
    <row r="14" spans="1:11" x14ac:dyDescent="0.3">
      <c r="A14" s="6" t="s">
        <v>8</v>
      </c>
      <c r="B14" s="9">
        <v>30000</v>
      </c>
      <c r="C14" s="9">
        <v>0.3</v>
      </c>
      <c r="D14" s="9">
        <v>60000</v>
      </c>
      <c r="E14" s="9">
        <v>0.25</v>
      </c>
      <c r="F14" s="9">
        <v>32000</v>
      </c>
      <c r="G14" s="9">
        <v>0.3125</v>
      </c>
      <c r="H14" s="9">
        <v>122000</v>
      </c>
      <c r="I14" s="9">
        <v>0.27868852459016391</v>
      </c>
      <c r="J14" s="9">
        <v>122000</v>
      </c>
      <c r="K14" s="9">
        <v>0.27868852459016391</v>
      </c>
    </row>
    <row r="15" spans="1:11" x14ac:dyDescent="0.3">
      <c r="A15" s="7" t="s">
        <v>7</v>
      </c>
      <c r="B15" s="9"/>
      <c r="C15" s="9" t="e">
        <v>#DIV/0!</v>
      </c>
      <c r="D15" s="9">
        <v>60000</v>
      </c>
      <c r="E15" s="9">
        <v>0.25</v>
      </c>
      <c r="F15" s="9"/>
      <c r="G15" s="9" t="e">
        <v>#DIV/0!</v>
      </c>
      <c r="H15" s="9">
        <v>60000</v>
      </c>
      <c r="I15" s="9">
        <v>0.25</v>
      </c>
      <c r="J15" s="9">
        <v>60000</v>
      </c>
      <c r="K15" s="9">
        <v>0.25</v>
      </c>
    </row>
    <row r="16" spans="1:11" x14ac:dyDescent="0.3">
      <c r="A16" s="7" t="s">
        <v>9</v>
      </c>
      <c r="B16" s="9">
        <v>30000</v>
      </c>
      <c r="C16" s="9">
        <v>0.3</v>
      </c>
      <c r="D16" s="9"/>
      <c r="E16" s="9" t="e">
        <v>#DIV/0!</v>
      </c>
      <c r="F16" s="9">
        <v>32000</v>
      </c>
      <c r="G16" s="9">
        <v>0.3125</v>
      </c>
      <c r="H16" s="9">
        <v>62000</v>
      </c>
      <c r="I16" s="9">
        <v>0.30645161290322581</v>
      </c>
      <c r="J16" s="9">
        <v>62000</v>
      </c>
      <c r="K16" s="9">
        <v>0.30645161290322581</v>
      </c>
    </row>
    <row r="17" spans="1:11" x14ac:dyDescent="0.3">
      <c r="A17" s="6" t="s">
        <v>11</v>
      </c>
      <c r="B17" s="9">
        <v>20000</v>
      </c>
      <c r="C17" s="9">
        <v>0.3</v>
      </c>
      <c r="D17" s="9">
        <v>40000</v>
      </c>
      <c r="E17" s="9">
        <v>0.3</v>
      </c>
      <c r="F17" s="9">
        <v>22000</v>
      </c>
      <c r="G17" s="9">
        <v>0.31818181818181818</v>
      </c>
      <c r="H17" s="9">
        <v>82000</v>
      </c>
      <c r="I17" s="9">
        <v>0.3048780487804878</v>
      </c>
      <c r="J17" s="9">
        <v>82000</v>
      </c>
      <c r="K17" s="9">
        <v>0.3048780487804878</v>
      </c>
    </row>
    <row r="18" spans="1:11" x14ac:dyDescent="0.3">
      <c r="A18" s="7" t="s">
        <v>9</v>
      </c>
      <c r="B18" s="9"/>
      <c r="C18" s="9" t="e">
        <v>#DIV/0!</v>
      </c>
      <c r="D18" s="9">
        <v>40000</v>
      </c>
      <c r="E18" s="9">
        <v>0.3</v>
      </c>
      <c r="F18" s="9"/>
      <c r="G18" s="9" t="e">
        <v>#DIV/0!</v>
      </c>
      <c r="H18" s="9">
        <v>40000</v>
      </c>
      <c r="I18" s="9">
        <v>0.3</v>
      </c>
      <c r="J18" s="9">
        <v>40000</v>
      </c>
      <c r="K18" s="9">
        <v>0.3</v>
      </c>
    </row>
    <row r="19" spans="1:11" x14ac:dyDescent="0.3">
      <c r="A19" s="7" t="s">
        <v>12</v>
      </c>
      <c r="B19" s="9">
        <v>20000</v>
      </c>
      <c r="C19" s="9">
        <v>0.3</v>
      </c>
      <c r="D19" s="9"/>
      <c r="E19" s="9" t="e">
        <v>#DIV/0!</v>
      </c>
      <c r="F19" s="9">
        <v>22000</v>
      </c>
      <c r="G19" s="9">
        <v>0.31818181818181818</v>
      </c>
      <c r="H19" s="9">
        <v>42000</v>
      </c>
      <c r="I19" s="9">
        <v>0.30952380952380953</v>
      </c>
      <c r="J19" s="9">
        <v>42000</v>
      </c>
      <c r="K19" s="9">
        <v>0.30952380952380953</v>
      </c>
    </row>
    <row r="20" spans="1:11" x14ac:dyDescent="0.3">
      <c r="A20" s="6" t="s">
        <v>14</v>
      </c>
      <c r="B20" s="9">
        <v>180000</v>
      </c>
      <c r="C20" s="9">
        <v>0.2722222222222222</v>
      </c>
      <c r="D20" s="9">
        <v>125000</v>
      </c>
      <c r="E20" s="9">
        <v>0.28000000000000003</v>
      </c>
      <c r="F20" s="9">
        <v>137000</v>
      </c>
      <c r="G20" s="9">
        <v>0.29197080291970801</v>
      </c>
      <c r="H20" s="9">
        <v>442000</v>
      </c>
      <c r="I20" s="9">
        <v>0.28054298642533937</v>
      </c>
      <c r="J20" s="9">
        <v>442000</v>
      </c>
      <c r="K20" s="9">
        <v>0.28054298642533937</v>
      </c>
    </row>
  </sheetData>
  <conditionalFormatting pivot="1" sqref="C11">
    <cfRule type="cellIs" dxfId="4" priority="1" operator="lessThan">
      <formula>20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03CB9-B07C-44F2-BDA3-AD3DEAEAE7A8}">
  <dimension ref="A1:J13"/>
  <sheetViews>
    <sheetView workbookViewId="0">
      <selection activeCell="F2" sqref="F2:J13"/>
    </sheetView>
  </sheetViews>
  <sheetFormatPr defaultRowHeight="14.4" x14ac:dyDescent="0.3"/>
  <cols>
    <col min="1" max="1" width="10.44140625" customWidth="1"/>
    <col min="3" max="3" width="9.5546875" customWidth="1"/>
    <col min="4" max="4" width="12.5546875" customWidth="1"/>
    <col min="5" max="5" width="10.21875" customWidth="1"/>
  </cols>
  <sheetData>
    <row r="1" spans="1:10" ht="43.2" x14ac:dyDescent="0.3">
      <c r="A1" s="1" t="s">
        <v>0</v>
      </c>
      <c r="B1" s="1" t="s">
        <v>1</v>
      </c>
      <c r="C1" s="1" t="s">
        <v>2</v>
      </c>
      <c r="D1" s="1" t="s">
        <v>3</v>
      </c>
      <c r="E1" s="1" t="s">
        <v>4</v>
      </c>
      <c r="F1" s="1" t="s">
        <v>5</v>
      </c>
      <c r="G1" s="1" t="s">
        <v>29</v>
      </c>
      <c r="H1" s="1" t="s">
        <v>30</v>
      </c>
      <c r="I1" s="1" t="s">
        <v>31</v>
      </c>
      <c r="J1" s="1" t="s">
        <v>32</v>
      </c>
    </row>
    <row r="2" spans="1:10" x14ac:dyDescent="0.3">
      <c r="A2" s="2">
        <v>1001</v>
      </c>
      <c r="B2" s="2" t="s">
        <v>6</v>
      </c>
      <c r="C2" s="2" t="s">
        <v>7</v>
      </c>
      <c r="D2" s="4">
        <v>46037</v>
      </c>
      <c r="E2" s="2">
        <v>50000</v>
      </c>
      <c r="F2" s="2">
        <v>38000</v>
      </c>
      <c r="G2" s="2">
        <f t="shared" ref="G2:G13" si="0">E2-F2</f>
        <v>12000</v>
      </c>
      <c r="H2" s="10">
        <f t="shared" ref="H2:H13" si="1">IFERROR(G2/E2,0)</f>
        <v>0.24</v>
      </c>
      <c r="I2" s="2" t="str">
        <f>"Q"&amp;ROUNDUP(MONTH(D2)/3,0)</f>
        <v>Q1</v>
      </c>
      <c r="J2" s="2"/>
    </row>
    <row r="3" spans="1:10" x14ac:dyDescent="0.3">
      <c r="A3" s="2">
        <v>1002</v>
      </c>
      <c r="B3" s="2" t="s">
        <v>8</v>
      </c>
      <c r="C3" s="2" t="s">
        <v>9</v>
      </c>
      <c r="D3" s="4">
        <v>46042</v>
      </c>
      <c r="E3" s="2">
        <v>30000</v>
      </c>
      <c r="F3" s="2">
        <v>21000</v>
      </c>
      <c r="G3" s="2">
        <f t="shared" si="0"/>
        <v>9000</v>
      </c>
      <c r="H3" s="10">
        <f t="shared" si="1"/>
        <v>0.3</v>
      </c>
      <c r="I3" s="2" t="str">
        <f t="shared" ref="I2:I13" si="2">"Q"&amp;ROUNDUP(MONTH(D3)/3,0)</f>
        <v>Q1</v>
      </c>
      <c r="J3" s="2"/>
    </row>
    <row r="4" spans="1:10" x14ac:dyDescent="0.3">
      <c r="A4" s="2">
        <v>1003</v>
      </c>
      <c r="B4" s="2" t="s">
        <v>10</v>
      </c>
      <c r="C4" s="2" t="s">
        <v>7</v>
      </c>
      <c r="D4" s="4">
        <v>46063</v>
      </c>
      <c r="E4" s="2">
        <v>45000</v>
      </c>
      <c r="F4" s="2">
        <v>34000</v>
      </c>
      <c r="G4" s="2">
        <f t="shared" si="0"/>
        <v>11000</v>
      </c>
      <c r="H4" s="10">
        <f t="shared" si="1"/>
        <v>0.24444444444444444</v>
      </c>
      <c r="I4" s="2" t="str">
        <f t="shared" si="2"/>
        <v>Q1</v>
      </c>
      <c r="J4" s="2"/>
    </row>
    <row r="5" spans="1:10" x14ac:dyDescent="0.3">
      <c r="A5" s="2">
        <v>1004</v>
      </c>
      <c r="B5" s="2" t="s">
        <v>11</v>
      </c>
      <c r="C5" s="2" t="s">
        <v>12</v>
      </c>
      <c r="D5" s="4">
        <v>46071</v>
      </c>
      <c r="E5" s="2">
        <v>20000</v>
      </c>
      <c r="F5" s="2">
        <v>14000</v>
      </c>
      <c r="G5" s="2">
        <f t="shared" si="0"/>
        <v>6000</v>
      </c>
      <c r="H5" s="10">
        <f t="shared" si="1"/>
        <v>0.3</v>
      </c>
      <c r="I5" s="2" t="str">
        <f t="shared" si="2"/>
        <v>Q1</v>
      </c>
      <c r="J5" s="2"/>
    </row>
    <row r="6" spans="1:10" x14ac:dyDescent="0.3">
      <c r="A6" s="2">
        <v>1005</v>
      </c>
      <c r="B6" s="2" t="s">
        <v>6</v>
      </c>
      <c r="C6" s="2" t="s">
        <v>9</v>
      </c>
      <c r="D6" s="4">
        <v>46086</v>
      </c>
      <c r="E6" s="2">
        <v>35000</v>
      </c>
      <c r="F6" s="2">
        <v>24000</v>
      </c>
      <c r="G6" s="2">
        <f t="shared" si="0"/>
        <v>11000</v>
      </c>
      <c r="H6" s="10">
        <f t="shared" si="1"/>
        <v>0.31428571428571428</v>
      </c>
      <c r="I6" s="2" t="str">
        <f t="shared" si="2"/>
        <v>Q1</v>
      </c>
      <c r="J6" s="2"/>
    </row>
    <row r="7" spans="1:10" x14ac:dyDescent="0.3">
      <c r="A7" s="2">
        <v>1006</v>
      </c>
      <c r="B7" s="2" t="s">
        <v>8</v>
      </c>
      <c r="C7" s="2" t="s">
        <v>7</v>
      </c>
      <c r="D7" s="4">
        <v>46124</v>
      </c>
      <c r="E7" s="2">
        <v>60000</v>
      </c>
      <c r="F7" s="2">
        <v>45000</v>
      </c>
      <c r="G7" s="2">
        <f t="shared" si="0"/>
        <v>15000</v>
      </c>
      <c r="H7" s="10">
        <f t="shared" si="1"/>
        <v>0.25</v>
      </c>
      <c r="I7" s="2" t="str">
        <f t="shared" si="2"/>
        <v>Q2</v>
      </c>
      <c r="J7" s="2"/>
    </row>
    <row r="8" spans="1:10" x14ac:dyDescent="0.3">
      <c r="A8" s="2">
        <v>1007</v>
      </c>
      <c r="B8" s="2" t="s">
        <v>10</v>
      </c>
      <c r="C8" s="2" t="s">
        <v>12</v>
      </c>
      <c r="D8" s="4">
        <v>46134</v>
      </c>
      <c r="E8" s="2">
        <v>25000</v>
      </c>
      <c r="F8" s="2">
        <v>17000</v>
      </c>
      <c r="G8" s="2">
        <f t="shared" si="0"/>
        <v>8000</v>
      </c>
      <c r="H8" s="10">
        <f t="shared" si="1"/>
        <v>0.32</v>
      </c>
      <c r="I8" s="2" t="str">
        <f t="shared" si="2"/>
        <v>Q2</v>
      </c>
      <c r="J8" s="2"/>
    </row>
    <row r="9" spans="1:10" x14ac:dyDescent="0.3">
      <c r="A9" s="2">
        <v>1008</v>
      </c>
      <c r="B9" s="2" t="s">
        <v>11</v>
      </c>
      <c r="C9" s="2" t="s">
        <v>9</v>
      </c>
      <c r="D9" s="4">
        <v>46150</v>
      </c>
      <c r="E9" s="2">
        <v>40000</v>
      </c>
      <c r="F9" s="2">
        <v>28000</v>
      </c>
      <c r="G9" s="2">
        <f t="shared" si="0"/>
        <v>12000</v>
      </c>
      <c r="H9" s="10">
        <f t="shared" si="1"/>
        <v>0.3</v>
      </c>
      <c r="I9" s="2" t="str">
        <f t="shared" si="2"/>
        <v>Q2</v>
      </c>
      <c r="J9" s="2"/>
    </row>
    <row r="10" spans="1:10" x14ac:dyDescent="0.3">
      <c r="A10" s="2">
        <v>1009</v>
      </c>
      <c r="B10" s="2" t="s">
        <v>6</v>
      </c>
      <c r="C10" s="2" t="s">
        <v>12</v>
      </c>
      <c r="D10" s="4">
        <v>46214</v>
      </c>
      <c r="E10" s="2">
        <v>28000</v>
      </c>
      <c r="F10" s="2">
        <v>19000</v>
      </c>
      <c r="G10" s="2">
        <f t="shared" si="0"/>
        <v>9000</v>
      </c>
      <c r="H10" s="10">
        <f t="shared" si="1"/>
        <v>0.32142857142857145</v>
      </c>
      <c r="I10" s="2" t="str">
        <f t="shared" si="2"/>
        <v>Q3</v>
      </c>
      <c r="J10" s="2"/>
    </row>
    <row r="11" spans="1:10" x14ac:dyDescent="0.3">
      <c r="A11" s="2">
        <v>1010</v>
      </c>
      <c r="B11" s="2" t="s">
        <v>8</v>
      </c>
      <c r="C11" s="2" t="s">
        <v>9</v>
      </c>
      <c r="D11" s="4">
        <v>46222</v>
      </c>
      <c r="E11" s="2">
        <v>32000</v>
      </c>
      <c r="F11" s="2">
        <v>22000</v>
      </c>
      <c r="G11" s="2">
        <f t="shared" si="0"/>
        <v>10000</v>
      </c>
      <c r="H11" s="10">
        <f t="shared" si="1"/>
        <v>0.3125</v>
      </c>
      <c r="I11" s="2" t="str">
        <f t="shared" si="2"/>
        <v>Q3</v>
      </c>
      <c r="J11" s="2"/>
    </row>
    <row r="12" spans="1:10" x14ac:dyDescent="0.3">
      <c r="A12" s="2">
        <v>1011</v>
      </c>
      <c r="B12" s="2" t="s">
        <v>10</v>
      </c>
      <c r="C12" s="2" t="s">
        <v>7</v>
      </c>
      <c r="D12" s="4">
        <v>46237</v>
      </c>
      <c r="E12" s="2">
        <v>55000</v>
      </c>
      <c r="F12" s="2">
        <v>41000</v>
      </c>
      <c r="G12" s="2">
        <f t="shared" si="0"/>
        <v>14000</v>
      </c>
      <c r="H12" s="10">
        <f t="shared" si="1"/>
        <v>0.25454545454545452</v>
      </c>
      <c r="I12" s="2" t="str">
        <f t="shared" si="2"/>
        <v>Q3</v>
      </c>
      <c r="J12" s="2"/>
    </row>
    <row r="13" spans="1:10" x14ac:dyDescent="0.3">
      <c r="A13" s="2">
        <v>1012</v>
      </c>
      <c r="B13" s="2" t="s">
        <v>11</v>
      </c>
      <c r="C13" s="2" t="s">
        <v>12</v>
      </c>
      <c r="D13" s="4">
        <v>46279</v>
      </c>
      <c r="E13" s="2">
        <v>22000</v>
      </c>
      <c r="F13" s="2">
        <v>15000</v>
      </c>
      <c r="G13" s="2">
        <f t="shared" si="0"/>
        <v>7000</v>
      </c>
      <c r="H13" s="10">
        <f t="shared" si="1"/>
        <v>0.31818181818181818</v>
      </c>
      <c r="I13" s="2" t="str">
        <f t="shared" si="2"/>
        <v>Q3</v>
      </c>
      <c r="J13"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8AF96-B00C-41D8-976A-58CDDD278C22}">
  <dimension ref="A1:C5"/>
  <sheetViews>
    <sheetView workbookViewId="0">
      <selection activeCell="C6" sqref="C6"/>
    </sheetView>
  </sheetViews>
  <sheetFormatPr defaultRowHeight="14.4" x14ac:dyDescent="0.3"/>
  <cols>
    <col min="2" max="2" width="12.21875" customWidth="1"/>
  </cols>
  <sheetData>
    <row r="1" spans="1:3" x14ac:dyDescent="0.3">
      <c r="A1" t="s">
        <v>31</v>
      </c>
      <c r="B1" t="s">
        <v>33</v>
      </c>
      <c r="C1" t="s">
        <v>34</v>
      </c>
    </row>
    <row r="2" spans="1:3" x14ac:dyDescent="0.3">
      <c r="A2" t="s">
        <v>35</v>
      </c>
      <c r="B2">
        <f>SUMIF(Sales_Data!$I$2:$I$13,A2,Sales_Data!$E$2:$E$13)</f>
        <v>180000</v>
      </c>
    </row>
    <row r="3" spans="1:3" x14ac:dyDescent="0.3">
      <c r="A3" t="s">
        <v>36</v>
      </c>
      <c r="B3">
        <f>SUMIF(Sales_Data!$I$2:$I$13,A3,Sales_Data!$E$2:$E$13)</f>
        <v>125000</v>
      </c>
      <c r="C3">
        <f>IFERROR((B3-B2)/B2,0)</f>
        <v>-0.30555555555555558</v>
      </c>
    </row>
    <row r="4" spans="1:3" x14ac:dyDescent="0.3">
      <c r="A4" t="s">
        <v>37</v>
      </c>
      <c r="B4">
        <f>SUMIF(Sales_Data!$I$2:$I$13,A4,Sales_Data!$E$2:$E$13)</f>
        <v>137000</v>
      </c>
      <c r="C4">
        <f t="shared" ref="C4:C5" si="0">IFERROR((B4-B3)/B3,0)</f>
        <v>9.6000000000000002E-2</v>
      </c>
    </row>
    <row r="5" spans="1:3" x14ac:dyDescent="0.3">
      <c r="A5" t="s">
        <v>38</v>
      </c>
      <c r="B5">
        <f>SUMIF(Sales_Data!$I$2:$I$13,A5,Sales_Data!$E$2:$E$13)</f>
        <v>0</v>
      </c>
      <c r="C5" t="str">
        <f>IF(B5=0,"N/A",IFERROR((B5-B4)/B4,0))</f>
        <v>N/A</v>
      </c>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877297-2846-49F3-9572-5C8EEE0174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Combined_Sales</vt:lpstr>
      <vt:lpstr>Sheet2</vt:lpstr>
      <vt:lpstr>Sales_Data</vt:lpstr>
      <vt:lpstr>Quarterly_Summary.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Vandana TS</dc:creator>
  <cp:lastModifiedBy>Vandana TS</cp:lastModifiedBy>
  <dcterms:created xsi:type="dcterms:W3CDTF">2026-10-16T05:53:14Z</dcterms:created>
  <dcterms:modified xsi:type="dcterms:W3CDTF">2026-10-16T07:43:02Z</dcterms:modified>
</cp:coreProperties>
</file>